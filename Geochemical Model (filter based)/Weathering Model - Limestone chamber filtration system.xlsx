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WW" sheetId="1" r:id="rId5"/>
    <sheet state="visible" name="Calcium Carbonate Weathering" sheetId="2" r:id="rId6"/>
    <sheet state="visible" name="Output Effluent" sheetId="3" r:id="rId7"/>
    <sheet state="hidden" name="__OpenSolverCache__" sheetId="4" r:id="rId8"/>
    <sheet state="hidden" name="__OpenSolver__" sheetId="5" r:id="rId9"/>
  </sheets>
  <definedNames/>
  <calcPr/>
</workbook>
</file>

<file path=xl/sharedStrings.xml><?xml version="1.0" encoding="utf-8"?>
<sst xmlns="http://schemas.openxmlformats.org/spreadsheetml/2006/main" count="176" uniqueCount="131">
  <si>
    <t>Parameter</t>
  </si>
  <si>
    <t>Value</t>
  </si>
  <si>
    <t>Unit</t>
  </si>
  <si>
    <t xml:space="preserve">pH_in </t>
  </si>
  <si>
    <t>Plant Daily Capacity</t>
  </si>
  <si>
    <t>MLD</t>
  </si>
  <si>
    <t>m3/s</t>
  </si>
  <si>
    <t>pCO2 initial</t>
  </si>
  <si>
    <t>uatm/ppm</t>
  </si>
  <si>
    <t>CO2 conc</t>
  </si>
  <si>
    <t>mg/L</t>
  </si>
  <si>
    <t>mol/L</t>
  </si>
  <si>
    <t>Ca_in conc</t>
  </si>
  <si>
    <t>Temperature</t>
  </si>
  <si>
    <t>K</t>
  </si>
  <si>
    <t>Carbonate Speciation Constants:</t>
  </si>
  <si>
    <t>Constants</t>
  </si>
  <si>
    <t>pK1</t>
  </si>
  <si>
    <t>k1</t>
  </si>
  <si>
    <t>pK2</t>
  </si>
  <si>
    <t>k2</t>
  </si>
  <si>
    <t>pKw</t>
  </si>
  <si>
    <t>kw</t>
  </si>
  <si>
    <t>mol^2/L^2</t>
  </si>
  <si>
    <t>H(+)</t>
  </si>
  <si>
    <t xml:space="preserve">Alkalinity </t>
  </si>
  <si>
    <t>CO2_water</t>
  </si>
  <si>
    <t xml:space="preserve">Anions </t>
  </si>
  <si>
    <t>HCO3(-)</t>
  </si>
  <si>
    <t xml:space="preserve">DIC </t>
  </si>
  <si>
    <t>CO3(2-)</t>
  </si>
  <si>
    <t>Check</t>
  </si>
  <si>
    <t>CO2 redn multiplier</t>
  </si>
  <si>
    <t>co2_w_effluent</t>
  </si>
  <si>
    <t>CaCO3 saturation in effluent</t>
  </si>
  <si>
    <t>has to be less than 100%</t>
  </si>
  <si>
    <t>HCO3-/CO3(2-)</t>
  </si>
  <si>
    <t>Needs to be manually adjusted so that abs error is less than 10^-2 (solver is not working on google sheets)</t>
  </si>
  <si>
    <t>pH error</t>
  </si>
  <si>
    <t>pH 1</t>
  </si>
  <si>
    <t>pH 2</t>
  </si>
  <si>
    <t>time resolution</t>
  </si>
  <si>
    <t>s</t>
  </si>
  <si>
    <t>Flow Rate</t>
  </si>
  <si>
    <t>Flow/s</t>
  </si>
  <si>
    <t>L/s</t>
  </si>
  <si>
    <t>Calcite initial particle size</t>
  </si>
  <si>
    <t>mm</t>
  </si>
  <si>
    <t>Average particle size will be at steady state, considering we start with 10mm particles initially and constantly add 10 mm particles</t>
  </si>
  <si>
    <t>Average Particle Size in system at steady state</t>
  </si>
  <si>
    <t>Calcite add and diameter steady state calculator.ipynb</t>
  </si>
  <si>
    <t>Particle Size</t>
  </si>
  <si>
    <t>m</t>
  </si>
  <si>
    <t>Mol Mass</t>
  </si>
  <si>
    <t>g/mol</t>
  </si>
  <si>
    <t>limestone density</t>
  </si>
  <si>
    <t>g/m3</t>
  </si>
  <si>
    <t>E_H</t>
  </si>
  <si>
    <t>kJ/mol</t>
  </si>
  <si>
    <t>Temp factor KdissH</t>
  </si>
  <si>
    <t>E_H2O</t>
  </si>
  <si>
    <t>Temp factor KdissH2O</t>
  </si>
  <si>
    <t>E_OH</t>
  </si>
  <si>
    <t>Temp factor KdissOH</t>
  </si>
  <si>
    <t>K_diss_H</t>
  </si>
  <si>
    <t>mol/m2/s</t>
  </si>
  <si>
    <t>k_diss_H2O</t>
  </si>
  <si>
    <t>k_diss_OH</t>
  </si>
  <si>
    <t>K_sp_CaCO3</t>
  </si>
  <si>
    <t>n_H</t>
  </si>
  <si>
    <t>n_OH</t>
  </si>
  <si>
    <t>Beerling et al., 2020</t>
  </si>
  <si>
    <t>if sphere with no cracks</t>
  </si>
  <si>
    <t>d_in</t>
  </si>
  <si>
    <t>V</t>
  </si>
  <si>
    <t>b</t>
  </si>
  <si>
    <t>mass</t>
  </si>
  <si>
    <t>a</t>
  </si>
  <si>
    <t>SA</t>
  </si>
  <si>
    <t>lamb</t>
  </si>
  <si>
    <t>SSA</t>
  </si>
  <si>
    <t>m2/g</t>
  </si>
  <si>
    <t>Saturation Index</t>
  </si>
  <si>
    <t>At flow velocity greater than 0.5 m/s this can be considered constant (Curl, R. L. (1965). Solution kinetics of calcite)</t>
  </si>
  <si>
    <t>Theory</t>
  </si>
  <si>
    <t>Weathering Rate per SA</t>
  </si>
  <si>
    <t>Weathering Rate</t>
  </si>
  <si>
    <t>mol/g/s</t>
  </si>
  <si>
    <t>Bertagni et al., 2025 and Palandiri et al., 2004</t>
  </si>
  <si>
    <t>Wr per g</t>
  </si>
  <si>
    <t>mol/g/L</t>
  </si>
  <si>
    <t>Moles CO2 avl.</t>
  </si>
  <si>
    <t xml:space="preserve">strong acid loss% = </t>
  </si>
  <si>
    <t xml:space="preserve">weathering/m2/s = </t>
  </si>
  <si>
    <t>(kH*H+kH2O + kOH*H ) *(1-saturation)</t>
  </si>
  <si>
    <t>Weight of CaCO3</t>
  </si>
  <si>
    <t>g</t>
  </si>
  <si>
    <t>saturation</t>
  </si>
  <si>
    <t>ca*co3/ksp</t>
  </si>
  <si>
    <t>Tons CaCO3 Required</t>
  </si>
  <si>
    <t>tons</t>
  </si>
  <si>
    <t>These many tons should always be in the system for releasing sufficient alkalinity to be able to remove 50% of the CO2 in the water</t>
  </si>
  <si>
    <t>Credits Generated</t>
  </si>
  <si>
    <t>tCO2e/day</t>
  </si>
  <si>
    <t>tons CaCO3 consumed</t>
  </si>
  <si>
    <t>t/day</t>
  </si>
  <si>
    <t>this value will change only basis credits and strong acid loss</t>
  </si>
  <si>
    <t>Credits lost due to strong acid weathering</t>
  </si>
  <si>
    <t>due to escape of CO2 in CaCO3</t>
  </si>
  <si>
    <t>Limestone purity</t>
  </si>
  <si>
    <t xml:space="preserve">Net CDR </t>
  </si>
  <si>
    <t>Limestone required</t>
  </si>
  <si>
    <t>Credits per year</t>
  </si>
  <si>
    <t>tCO2e</t>
  </si>
  <si>
    <t>CO2_w_removed</t>
  </si>
  <si>
    <t>Ca</t>
  </si>
  <si>
    <t>CO2_w</t>
  </si>
  <si>
    <t>solve</t>
  </si>
  <si>
    <t>HCO3-</t>
  </si>
  <si>
    <t>CO32-</t>
  </si>
  <si>
    <t>H+ output</t>
  </si>
  <si>
    <t>pH</t>
  </si>
  <si>
    <t>pH check</t>
  </si>
  <si>
    <t>Alkalinity</t>
  </si>
  <si>
    <t>error</t>
  </si>
  <si>
    <t>Carbonate Alkalinity</t>
  </si>
  <si>
    <t>Error</t>
  </si>
  <si>
    <t>input C</t>
  </si>
  <si>
    <t>output</t>
  </si>
  <si>
    <t xml:space="preserve">output - input </t>
  </si>
  <si>
    <t>{"sheetId":969618882,"showStatus":true,"minimiseUserInteraction":false,"assumeNonNegativeVars":true,"checkLinear":false,"fastBuild":false,"linearityOffset":10.423,"solveStatus":-1,"solveStatusString":"Unsolved","solveStatusStringComment":"","modelStatus":2,"numVariableAreas":1,"variableAreaStrings":["Calcium Carbonate Weathering!B2"],"numVars":1,"varNames":["B2"],"varLocations":[[0,0,0]],"varKeys":["0_0_0"],"varRangeSizes":[{"rows":1,"cols":1}],"varNameMap":{"B2":0},"varValues":[],"varTypes":{},"lowerBoundedVariables":{},"objectiveSense":1,"objectiveTarget":null,"objectiveString":"Calcium Carbonate Weathering!B2","objective":{},"numConstraints":1,"numRows":1,"rowToConstraint":[0],"constraintToRow":[0],"rowCount":[1],"constraintSummary":["Calcium Carbonate Weathering!F18 = Calcium Carbonate Weathering!F19"],"relation":[2],"lhsString":["Calcium Carbonate Weathering!F18"],"lhsRangeSizes":[{"rows":1,"cols":1}],"lhsType":[1],"rhsString":["Calcium Carbonate Weathering!F19"],"rhsType":[1],"startVariable":1,"sparseA":[{"indices":[],"values":[]}],"rhs":[0],"costCoeffs":{"indices":[0],"values":[11.423]},"objectiveConstant":0,"solverShortName":"SolveEngine","solver":null,"solutionWasLoaded":false}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</si>
</sst>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"/>
    <numFmt numFmtId="165" formatCode="0.0000"/>
    <numFmt numFmtId="166" formatCode="0.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  <scheme val="minor"/>
    </font>
    <font>
      <u/>
      <color rgb="FF0000FF"/>
    </font>
    <font>
      <b/>
      <i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4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5" fillId="0" fontId="2" numFmtId="0" xfId="0" applyBorder="1" applyFont="1"/>
    <xf borderId="0" fillId="0" fontId="2" numFmtId="11" xfId="0" applyAlignment="1" applyFont="1" applyNumberFormat="1">
      <alignment readingOrder="0"/>
    </xf>
    <xf borderId="5" fillId="0" fontId="2" numFmtId="0" xfId="0" applyAlignment="1" applyBorder="1" applyFont="1">
      <alignment readingOrder="0"/>
    </xf>
    <xf borderId="0" fillId="0" fontId="2" numFmtId="4" xfId="0" applyAlignment="1" applyFont="1" applyNumberFormat="1">
      <alignment readingOrder="0"/>
    </xf>
    <xf borderId="6" fillId="0" fontId="2" numFmtId="0" xfId="0" applyAlignment="1" applyBorder="1" applyFont="1">
      <alignment readingOrder="0" shrinkToFit="0" wrapText="1"/>
    </xf>
    <xf borderId="7" fillId="0" fontId="2" numFmtId="0" xfId="0" applyBorder="1" applyFont="1"/>
    <xf borderId="8" fillId="0" fontId="2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2" xfId="0" applyFont="1" applyNumberFormat="1"/>
    <xf borderId="0" fillId="0" fontId="4" numFmtId="11" xfId="0" applyAlignment="1" applyFont="1" applyNumberFormat="1">
      <alignment vertical="bottom"/>
    </xf>
    <xf borderId="0" fillId="0" fontId="2" numFmtId="11" xfId="0" applyFont="1" applyNumberFormat="1"/>
    <xf borderId="1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4" fillId="0" fontId="4" numFmtId="0" xfId="0" applyAlignment="1" applyBorder="1" applyFont="1">
      <alignment readingOrder="0" shrinkToFit="0" vertical="bottom" wrapText="1"/>
    </xf>
    <xf borderId="5" fillId="0" fontId="4" numFmtId="0" xfId="0" applyAlignment="1" applyBorder="1" applyFont="1">
      <alignment vertical="bottom"/>
    </xf>
    <xf borderId="0" fillId="0" fontId="2" numFmtId="4" xfId="0" applyFont="1" applyNumberFormat="1"/>
    <xf borderId="4" fillId="0" fontId="4" numFmtId="0" xfId="0" applyAlignment="1" applyBorder="1" applyFont="1">
      <alignment shrinkToFit="0" vertical="bottom" wrapText="1"/>
    </xf>
    <xf borderId="0" fillId="0" fontId="2" numFmtId="164" xfId="0" applyFont="1" applyNumberFormat="1"/>
    <xf borderId="6" fillId="0" fontId="4" numFmtId="0" xfId="0" applyAlignment="1" applyBorder="1" applyFont="1">
      <alignment shrinkToFit="0" vertical="bottom" wrapText="1"/>
    </xf>
    <xf borderId="7" fillId="0" fontId="4" numFmtId="11" xfId="0" applyAlignment="1" applyBorder="1" applyFont="1" applyNumberFormat="1">
      <alignment vertical="bottom"/>
    </xf>
    <xf borderId="8" fillId="0" fontId="4" numFmtId="0" xfId="0" applyAlignment="1" applyBorder="1" applyFont="1">
      <alignment vertical="bottom"/>
    </xf>
    <xf borderId="0" fillId="3" fontId="3" numFmtId="0" xfId="0" applyAlignment="1" applyFill="1" applyFont="1">
      <alignment shrinkToFit="0" vertical="bottom" wrapText="1"/>
    </xf>
    <xf borderId="0" fillId="3" fontId="4" numFmtId="0" xfId="0" applyAlignment="1" applyFont="1">
      <alignment vertical="bottom"/>
    </xf>
    <xf borderId="0" fillId="3" fontId="2" numFmtId="0" xfId="0" applyFont="1"/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right" readingOrder="0" vertical="bottom"/>
    </xf>
    <xf borderId="0" fillId="0" fontId="4" numFmtId="4" xfId="0" applyAlignment="1" applyFont="1" applyNumberFormat="1">
      <alignment readingOrder="0" shrinkToFit="0" vertical="bottom" wrapText="1"/>
    </xf>
    <xf borderId="0" fillId="0" fontId="4" numFmtId="4" xfId="0" applyAlignment="1" applyFont="1" applyNumberFormat="1">
      <alignment readingOrder="0" vertical="bottom"/>
    </xf>
    <xf borderId="0" fillId="0" fontId="4" numFmtId="4" xfId="0" applyAlignment="1" applyFont="1" applyNumberFormat="1">
      <alignment horizontal="right" vertical="bottom"/>
    </xf>
    <xf borderId="0" fillId="0" fontId="4" numFmtId="0" xfId="0" applyAlignment="1" applyFont="1">
      <alignment shrinkToFit="0" vertical="bottom" wrapText="1"/>
    </xf>
    <xf borderId="0" fillId="0" fontId="4" numFmtId="11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10" xfId="0" applyAlignment="1" applyFont="1" applyNumberFormat="1">
      <alignment horizontal="right" vertical="bottom"/>
    </xf>
    <xf borderId="0" fillId="4" fontId="3" numFmtId="0" xfId="0" applyAlignment="1" applyFill="1" applyFont="1">
      <alignment shrinkToFit="0" vertical="bottom" wrapText="1"/>
    </xf>
    <xf borderId="0" fillId="4" fontId="3" numFmtId="0" xfId="0" applyAlignment="1" applyFont="1">
      <alignment horizontal="right" readingOrder="0" vertical="bottom"/>
    </xf>
    <xf borderId="0" fillId="0" fontId="4" numFmtId="0" xfId="0" applyAlignment="1" applyFont="1">
      <alignment shrinkToFit="0" vertical="bottom" wrapText="1"/>
    </xf>
    <xf borderId="0" fillId="0" fontId="4" numFmtId="165" xfId="0" applyAlignment="1" applyFont="1" applyNumberFormat="1">
      <alignment horizontal="right" vertical="bottom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0" fontId="2" numFmtId="166" xfId="0" applyFont="1" applyNumberFormat="1"/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 shrinkToFit="0" wrapText="1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5" fontId="7" numFmtId="0" xfId="0" applyAlignment="1" applyBorder="1" applyFill="1" applyFont="1">
      <alignment readingOrder="0"/>
    </xf>
    <xf borderId="2" fillId="5" fontId="2" numFmtId="0" xfId="0" applyBorder="1" applyFont="1"/>
    <xf borderId="3" fillId="5" fontId="2" numFmtId="0" xfId="0" applyBorder="1" applyFont="1"/>
    <xf borderId="4" fillId="5" fontId="2" numFmtId="0" xfId="0" applyAlignment="1" applyBorder="1" applyFont="1">
      <alignment readingOrder="0"/>
    </xf>
    <xf borderId="0" fillId="5" fontId="2" numFmtId="0" xfId="0" applyAlignment="1" applyFont="1">
      <alignment readingOrder="0"/>
    </xf>
    <xf borderId="5" fillId="5" fontId="2" numFmtId="0" xfId="0" applyAlignment="1" applyBorder="1" applyFont="1">
      <alignment readingOrder="0"/>
    </xf>
    <xf borderId="5" fillId="5" fontId="2" numFmtId="4" xfId="0" applyAlignment="1" applyBorder="1" applyFont="1" applyNumberFormat="1">
      <alignment readingOrder="0"/>
    </xf>
    <xf borderId="4" fillId="5" fontId="2" numFmtId="4" xfId="0" applyAlignment="1" applyBorder="1" applyFont="1" applyNumberFormat="1">
      <alignment readingOrder="0"/>
    </xf>
    <xf borderId="0" fillId="5" fontId="2" numFmtId="166" xfId="0" applyAlignment="1" applyFont="1" applyNumberFormat="1">
      <alignment readingOrder="0"/>
    </xf>
    <xf borderId="0" fillId="5" fontId="2" numFmtId="11" xfId="0" applyFont="1" applyNumberFormat="1"/>
    <xf borderId="0" fillId="5" fontId="2" numFmtId="11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5" fillId="5" fontId="2" numFmtId="0" xfId="0" applyBorder="1" applyFont="1"/>
    <xf borderId="6" fillId="5" fontId="2" numFmtId="0" xfId="0" applyAlignment="1" applyBorder="1" applyFont="1">
      <alignment readingOrder="0"/>
    </xf>
    <xf borderId="7" fillId="5" fontId="2" numFmtId="0" xfId="0" applyAlignment="1" applyBorder="1" applyFont="1">
      <alignment readingOrder="0"/>
    </xf>
    <xf borderId="8" fillId="5" fontId="2" numFmtId="0" xfId="0" applyBorder="1" applyFont="1"/>
    <xf borderId="1" fillId="5" fontId="1" numFmtId="0" xfId="0" applyAlignment="1" applyBorder="1" applyFont="1">
      <alignment readingOrder="0"/>
    </xf>
    <xf borderId="0" fillId="0" fontId="2" numFmtId="11" xfId="0" applyAlignment="1" applyFont="1" applyNumberFormat="1">
      <alignment horizontal="right" readingOrder="0"/>
    </xf>
    <xf borderId="0" fillId="5" fontId="2" numFmtId="0" xfId="0" applyFont="1"/>
    <xf borderId="0" fillId="0" fontId="2" numFmtId="0" xfId="0" applyFont="1"/>
    <xf borderId="7" fillId="5" fontId="2" numFmtId="0" xfId="0" applyBorder="1" applyFont="1"/>
    <xf borderId="8" fillId="5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2" fillId="0" fontId="2" numFmtId="11" xfId="0" applyBorder="1" applyFont="1" applyNumberFormat="1"/>
    <xf borderId="1" fillId="6" fontId="3" numFmtId="0" xfId="0" applyAlignment="1" applyBorder="1" applyFill="1" applyFont="1">
      <alignment readingOrder="0" vertical="bottom"/>
    </xf>
    <xf borderId="2" fillId="6" fontId="4" numFmtId="0" xfId="0" applyAlignment="1" applyBorder="1" applyFont="1">
      <alignment vertical="bottom"/>
    </xf>
    <xf borderId="3" fillId="6" fontId="2" numFmtId="0" xfId="0" applyBorder="1" applyFont="1"/>
    <xf borderId="4" fillId="6" fontId="4" numFmtId="0" xfId="0" applyAlignment="1" applyBorder="1" applyFont="1">
      <alignment vertical="bottom"/>
    </xf>
    <xf borderId="0" fillId="6" fontId="4" numFmtId="0" xfId="0" applyAlignment="1" applyFont="1">
      <alignment vertical="bottom"/>
    </xf>
    <xf borderId="5" fillId="6" fontId="2" numFmtId="0" xfId="0" applyBorder="1" applyFont="1"/>
    <xf borderId="4" fillId="6" fontId="1" numFmtId="0" xfId="0" applyAlignment="1" applyBorder="1" applyFont="1">
      <alignment readingOrder="0"/>
    </xf>
    <xf borderId="0" fillId="6" fontId="2" numFmtId="0" xfId="0" applyFont="1"/>
    <xf borderId="4" fillId="6" fontId="2" numFmtId="0" xfId="0" applyBorder="1" applyFont="1"/>
    <xf borderId="0" fillId="7" fontId="5" numFmtId="0" xfId="0" applyAlignment="1" applyFill="1" applyFont="1">
      <alignment horizontal="right" readingOrder="0"/>
    </xf>
    <xf borderId="0" fillId="7" fontId="5" numFmtId="10" xfId="0" applyAlignment="1" applyFont="1" applyNumberFormat="1">
      <alignment horizontal="left" readingOrder="0"/>
    </xf>
    <xf borderId="4" fillId="6" fontId="4" numFmtId="0" xfId="0" applyAlignment="1" applyBorder="1" applyFont="1">
      <alignment readingOrder="0" vertical="bottom"/>
    </xf>
    <xf borderId="7" fillId="0" fontId="2" numFmtId="11" xfId="0" applyBorder="1" applyFont="1" applyNumberFormat="1"/>
    <xf borderId="6" fillId="6" fontId="4" numFmtId="0" xfId="0" applyAlignment="1" applyBorder="1" applyFont="1">
      <alignment vertical="bottom"/>
    </xf>
    <xf borderId="7" fillId="6" fontId="4" numFmtId="0" xfId="0" applyAlignment="1" applyBorder="1" applyFont="1">
      <alignment vertical="bottom"/>
    </xf>
    <xf borderId="8" fillId="6" fontId="2" numFmtId="0" xfId="0" applyBorder="1" applyFont="1"/>
    <xf borderId="9" fillId="0" fontId="2" numFmtId="0" xfId="0" applyAlignment="1" applyBorder="1" applyFont="1">
      <alignment readingOrder="0"/>
    </xf>
    <xf borderId="10" fillId="0" fontId="2" numFmtId="4" xfId="0" applyBorder="1" applyFont="1" applyNumberFormat="1"/>
    <xf borderId="11" fillId="0" fontId="2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4" xfId="0" applyBorder="1" applyFont="1" applyNumberFormat="1"/>
    <xf borderId="11" fillId="0" fontId="1" numFmtId="0" xfId="0" applyAlignment="1" applyBorder="1" applyFont="1">
      <alignment readingOrder="0"/>
    </xf>
    <xf borderId="9" fillId="0" fontId="7" numFmtId="0" xfId="0" applyAlignment="1" applyBorder="1" applyFont="1">
      <alignment readingOrder="0" shrinkToFit="0" wrapText="1"/>
    </xf>
    <xf borderId="10" fillId="0" fontId="7" numFmtId="2" xfId="0" applyAlignment="1" applyBorder="1" applyFont="1" applyNumberFormat="1">
      <alignment readingOrder="0" shrinkToFit="0" wrapText="1"/>
    </xf>
    <xf borderId="9" fillId="0" fontId="7" numFmtId="0" xfId="0" applyAlignment="1" applyBorder="1" applyFont="1">
      <alignment readingOrder="0"/>
    </xf>
    <xf borderId="0" fillId="0" fontId="1" numFmtId="4" xfId="0" applyFont="1" applyNumberFormat="1"/>
    <xf borderId="0" fillId="0" fontId="7" numFmtId="0" xfId="0" applyAlignment="1" applyFont="1">
      <alignment readingOrder="0"/>
    </xf>
    <xf borderId="0" fillId="0" fontId="2" numFmtId="1" xfId="0" applyFont="1" applyNumberFormat="1"/>
    <xf borderId="0" fillId="0" fontId="1" numFmtId="0" xfId="0" applyFont="1"/>
    <xf borderId="0" fillId="6" fontId="2" numFmtId="0" xfId="0" applyAlignment="1" applyFont="1">
      <alignment readingOrder="0"/>
    </xf>
    <xf borderId="0" fillId="6" fontId="2" numFmtId="11" xfId="0" applyFont="1" applyNumberFormat="1"/>
    <xf borderId="1" fillId="8" fontId="2" numFmtId="0" xfId="0" applyAlignment="1" applyBorder="1" applyFill="1" applyFont="1">
      <alignment readingOrder="0"/>
    </xf>
    <xf borderId="2" fillId="8" fontId="2" numFmtId="11" xfId="0" applyBorder="1" applyFont="1" applyNumberFormat="1"/>
    <xf borderId="3" fillId="8" fontId="2" numFmtId="0" xfId="0" applyAlignment="1" applyBorder="1" applyFont="1">
      <alignment readingOrder="0"/>
    </xf>
    <xf borderId="4" fillId="8" fontId="2" numFmtId="0" xfId="0" applyAlignment="1" applyBorder="1" applyFont="1">
      <alignment readingOrder="0"/>
    </xf>
    <xf borderId="0" fillId="8" fontId="2" numFmtId="11" xfId="0" applyFont="1" applyNumberFormat="1"/>
    <xf borderId="5" fillId="8" fontId="2" numFmtId="0" xfId="0" applyAlignment="1" applyBorder="1" applyFont="1">
      <alignment readingOrder="0"/>
    </xf>
    <xf borderId="0" fillId="4" fontId="2" numFmtId="0" xfId="0" applyAlignment="1" applyFont="1">
      <alignment readingOrder="0"/>
    </xf>
    <xf borderId="5" fillId="8" fontId="2" numFmtId="0" xfId="0" applyBorder="1" applyFont="1"/>
    <xf borderId="0" fillId="0" fontId="1" numFmtId="165" xfId="0" applyFont="1" applyNumberFormat="1"/>
    <xf borderId="6" fillId="8" fontId="2" numFmtId="0" xfId="0" applyAlignment="1" applyBorder="1" applyFont="1">
      <alignment readingOrder="0"/>
    </xf>
    <xf borderId="7" fillId="8" fontId="2" numFmtId="11" xfId="0" applyBorder="1" applyFont="1" applyNumberFormat="1"/>
    <xf borderId="8" fillId="8" fontId="2" numFmtId="0" xfId="0" applyBorder="1" applyFont="1"/>
    <xf borderId="0" fillId="0" fontId="2" numFmtId="165" xfId="0" applyFont="1" applyNumberFormat="1"/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828675</xdr:colOff>
      <xdr:row>28</xdr:row>
      <xdr:rowOff>142875</xdr:rowOff>
    </xdr:from>
    <xdr:ext cx="2638425" cy="495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olab.research.google.com/drive/1DVbW_ury_rk_x9p6GYEXg8MzwCSXwk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11.0"/>
    <col customWidth="1" min="5" max="5" width="15.88"/>
    <col customWidth="1" min="6" max="6" width="14.13"/>
  </cols>
  <sheetData>
    <row r="1">
      <c r="A1" s="1" t="s">
        <v>0</v>
      </c>
      <c r="B1" s="2" t="s">
        <v>1</v>
      </c>
      <c r="C1" s="3" t="s">
        <v>2</v>
      </c>
      <c r="E1" s="4" t="s">
        <v>0</v>
      </c>
      <c r="F1" s="4" t="s">
        <v>1</v>
      </c>
      <c r="G1" s="4" t="s">
        <v>2</v>
      </c>
    </row>
    <row r="2">
      <c r="A2" s="5" t="s">
        <v>3</v>
      </c>
      <c r="B2" s="6">
        <v>6.5</v>
      </c>
      <c r="C2" s="7"/>
      <c r="F2" s="8"/>
    </row>
    <row r="3">
      <c r="A3" s="5" t="s">
        <v>4</v>
      </c>
      <c r="B3" s="6">
        <v>100.0</v>
      </c>
      <c r="C3" s="9" t="s">
        <v>5</v>
      </c>
      <c r="E3" s="6" t="s">
        <v>4</v>
      </c>
      <c r="F3" s="8">
        <f>B3*10^6/1000/24/60/60</f>
        <v>1.157407407</v>
      </c>
      <c r="G3" s="6" t="s">
        <v>6</v>
      </c>
    </row>
    <row r="4">
      <c r="A4" s="5" t="s">
        <v>7</v>
      </c>
      <c r="B4" s="6">
        <v>15000.0</v>
      </c>
      <c r="C4" s="9" t="s">
        <v>8</v>
      </c>
      <c r="F4" s="8"/>
    </row>
    <row r="5">
      <c r="A5" s="5" t="s">
        <v>9</v>
      </c>
      <c r="B5" s="10">
        <f>F5*44*1000</f>
        <v>29.45113788</v>
      </c>
      <c r="C5" s="9" t="s">
        <v>10</v>
      </c>
      <c r="E5" s="6" t="s">
        <v>9</v>
      </c>
      <c r="F5" s="8">
        <f>B4*10^-6/22.41</f>
        <v>0.0006693440428</v>
      </c>
      <c r="G5" s="6" t="s">
        <v>11</v>
      </c>
    </row>
    <row r="6">
      <c r="A6" s="5" t="s">
        <v>12</v>
      </c>
      <c r="B6" s="6">
        <v>180.0</v>
      </c>
      <c r="C6" s="9" t="s">
        <v>10</v>
      </c>
      <c r="E6" s="6" t="s">
        <v>12</v>
      </c>
      <c r="F6" s="8">
        <f>B6/40*0.001</f>
        <v>0.0045</v>
      </c>
      <c r="G6" s="6" t="s">
        <v>11</v>
      </c>
    </row>
    <row r="7">
      <c r="A7" s="11" t="s">
        <v>13</v>
      </c>
      <c r="B7" s="12">
        <f>273.15 + 25</f>
        <v>298.15</v>
      </c>
      <c r="C7" s="13" t="s">
        <v>14</v>
      </c>
    </row>
    <row r="8">
      <c r="A8" s="14"/>
    </row>
    <row r="9">
      <c r="A9" s="15" t="s">
        <v>15</v>
      </c>
    </row>
    <row r="10">
      <c r="A10" s="16" t="s">
        <v>16</v>
      </c>
      <c r="E10" s="17"/>
      <c r="F10" s="18"/>
      <c r="G10" s="18"/>
    </row>
    <row r="11">
      <c r="A11" s="19" t="s">
        <v>17</v>
      </c>
      <c r="B11" s="20">
        <f>-(-356.309 - 0.0609*B7 + 21834.37/B7 + 126.8339*LOG(B7) - 1684915/(B7)^2)</f>
        <v>6.345608484</v>
      </c>
      <c r="E11" s="17" t="s">
        <v>18</v>
      </c>
      <c r="F11" s="21">
        <f t="shared" ref="F11:F13" si="1">10^(-1*B11)</f>
        <v>0.0000004512232984</v>
      </c>
      <c r="G11" s="17" t="s">
        <v>11</v>
      </c>
    </row>
    <row r="12">
      <c r="A12" s="19" t="s">
        <v>19</v>
      </c>
      <c r="B12" s="20">
        <f>-(-107.887 - 0.032528*B7 + 5151.79/B7 + 38.92561*log(B7) - 563713.9/B7^2)</f>
        <v>10.32860829</v>
      </c>
      <c r="E12" s="17" t="s">
        <v>20</v>
      </c>
      <c r="F12" s="21">
        <f t="shared" si="1"/>
        <v>0</v>
      </c>
      <c r="G12" s="17" t="s">
        <v>11</v>
      </c>
    </row>
    <row r="13">
      <c r="A13" s="19" t="s">
        <v>21</v>
      </c>
      <c r="B13" s="20">
        <f>-(-283.971 + 13323/(B7) - 0.0507 * (B7) + 102.24447 * LOG(B7) - 1119669/(B7)^2) </f>
        <v>14.0000018</v>
      </c>
      <c r="E13" s="6" t="s">
        <v>22</v>
      </c>
      <c r="F13" s="22">
        <f t="shared" si="1"/>
        <v>0</v>
      </c>
      <c r="G13" s="6" t="s">
        <v>23</v>
      </c>
    </row>
    <row r="14">
      <c r="A14" s="14"/>
    </row>
    <row r="15">
      <c r="A15" s="23" t="s">
        <v>0</v>
      </c>
      <c r="B15" s="24" t="s">
        <v>1</v>
      </c>
      <c r="C15" s="25" t="s">
        <v>2</v>
      </c>
    </row>
    <row r="16">
      <c r="A16" s="26" t="s">
        <v>24</v>
      </c>
      <c r="B16" s="21">
        <f>10^(-B2)</f>
        <v>0.000000316227766</v>
      </c>
      <c r="C16" s="27" t="s">
        <v>11</v>
      </c>
      <c r="E16" s="6" t="s">
        <v>25</v>
      </c>
      <c r="F16" s="22">
        <f>B18+B19*2-B16 + F13/B16</f>
        <v>0.0009550814036</v>
      </c>
      <c r="G16" s="6" t="s">
        <v>11</v>
      </c>
      <c r="H16" s="28"/>
    </row>
    <row r="17">
      <c r="A17" s="29" t="s">
        <v>26</v>
      </c>
      <c r="B17" s="21">
        <f>F5</f>
        <v>0.0006693440428</v>
      </c>
      <c r="C17" s="27" t="s">
        <v>11</v>
      </c>
      <c r="E17" s="6" t="s">
        <v>27</v>
      </c>
      <c r="F17" s="22">
        <f>2*F6 - F16</f>
        <v>0.008044918596</v>
      </c>
      <c r="G17" s="6" t="s">
        <v>11</v>
      </c>
    </row>
    <row r="18">
      <c r="A18" s="29" t="s">
        <v>28</v>
      </c>
      <c r="B18" s="21">
        <f>F11*B17/B16</f>
        <v>0.0009550825678</v>
      </c>
      <c r="C18" s="27" t="s">
        <v>11</v>
      </c>
      <c r="D18" s="30"/>
      <c r="E18" s="6" t="s">
        <v>29</v>
      </c>
      <c r="F18" s="22">
        <f>sum(B17:B19)</f>
        <v>0.001624568331</v>
      </c>
      <c r="G18" s="6" t="s">
        <v>11</v>
      </c>
    </row>
    <row r="19">
      <c r="A19" s="31" t="s">
        <v>30</v>
      </c>
      <c r="B19" s="32">
        <f>F12*F11*B17/B16^2</f>
        <v>0.0000001417204861</v>
      </c>
      <c r="C19" s="33" t="s">
        <v>11</v>
      </c>
      <c r="D19" s="30"/>
    </row>
    <row r="20">
      <c r="A20" s="14"/>
    </row>
    <row r="21">
      <c r="A21" s="34" t="s">
        <v>31</v>
      </c>
      <c r="B21" s="35"/>
      <c r="C21" s="35"/>
      <c r="D21" s="35"/>
      <c r="E21" s="35"/>
      <c r="F21" s="35"/>
      <c r="G21" s="35"/>
      <c r="H21" s="35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>
      <c r="A22" s="37" t="s">
        <v>32</v>
      </c>
      <c r="B22" s="38">
        <v>2.0</v>
      </c>
      <c r="C22" s="39"/>
      <c r="D22" s="40"/>
      <c r="E22" s="21"/>
      <c r="F22" s="40"/>
      <c r="G22" s="41"/>
      <c r="H22" s="18"/>
    </row>
    <row r="23">
      <c r="A23" s="42" t="s">
        <v>33</v>
      </c>
      <c r="B23" s="43">
        <f>B17/B22</f>
        <v>0.0003346720214</v>
      </c>
      <c r="C23" s="44" t="s">
        <v>11</v>
      </c>
      <c r="D23" s="18"/>
      <c r="E23" s="18"/>
      <c r="F23" s="18"/>
      <c r="G23" s="18"/>
      <c r="H23" s="18"/>
    </row>
    <row r="24">
      <c r="A24" s="45" t="s">
        <v>34</v>
      </c>
      <c r="B24" s="46">
        <f>'Output Effluent'!B3*'Output Effluent'!B6/'Calcium Carbonate Weathering'!B18</f>
        <v>0.8778542697</v>
      </c>
      <c r="C24" s="17" t="s">
        <v>35</v>
      </c>
      <c r="D24" s="18"/>
      <c r="E24" s="18"/>
      <c r="F24" s="18"/>
      <c r="G24" s="18"/>
      <c r="H24" s="18"/>
    </row>
    <row r="25">
      <c r="A25" s="47" t="s">
        <v>36</v>
      </c>
      <c r="B25" s="48">
        <v>0.998</v>
      </c>
      <c r="C25" s="17" t="s">
        <v>37</v>
      </c>
      <c r="D25" s="18"/>
      <c r="E25" s="18"/>
      <c r="F25" s="18"/>
      <c r="G25" s="18"/>
      <c r="H25" s="18"/>
    </row>
    <row r="26">
      <c r="A26" s="49" t="s">
        <v>38</v>
      </c>
      <c r="B26" s="43">
        <f>'Output Effluent'!E9</f>
        <v>-0.002004738095</v>
      </c>
      <c r="C26" s="18"/>
      <c r="D26" s="21"/>
      <c r="E26" s="18"/>
      <c r="F26" s="18"/>
      <c r="G26" s="18"/>
      <c r="H26" s="18"/>
    </row>
    <row r="27">
      <c r="A27" s="49" t="s">
        <v>39</v>
      </c>
      <c r="B27" s="50">
        <f>'Output Effluent'!E7</f>
        <v>7.031331123</v>
      </c>
      <c r="C27" s="18"/>
      <c r="D27" s="18"/>
      <c r="E27" s="18"/>
      <c r="F27" s="18"/>
      <c r="G27" s="18"/>
      <c r="H27" s="18"/>
    </row>
    <row r="28">
      <c r="A28" s="49" t="s">
        <v>40</v>
      </c>
      <c r="B28" s="50">
        <f>'Output Effluent'!E8</f>
        <v>7.029326385</v>
      </c>
      <c r="C28" s="18"/>
      <c r="D28" s="18"/>
      <c r="E28" s="18"/>
      <c r="F28" s="18"/>
      <c r="G28" s="18"/>
      <c r="H28" s="18"/>
    </row>
    <row r="29">
      <c r="A29" s="49"/>
      <c r="B29" s="18"/>
      <c r="C29" s="18"/>
      <c r="D29" s="18"/>
      <c r="E29" s="18"/>
      <c r="F29" s="18"/>
      <c r="G29" s="18"/>
      <c r="H29" s="18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</sheetData>
  <mergeCells count="1">
    <mergeCell ref="A9:Y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4" max="4" width="34.63"/>
    <col customWidth="1" min="5" max="5" width="14.63"/>
    <col customWidth="1" min="6" max="6" width="15.75"/>
    <col customWidth="1" min="8" max="8" width="13.88"/>
    <col customWidth="1" min="11" max="11" width="33.25"/>
  </cols>
  <sheetData>
    <row r="1">
      <c r="A1" s="51" t="s">
        <v>0</v>
      </c>
      <c r="B1" s="2" t="s">
        <v>1</v>
      </c>
      <c r="C1" s="3" t="s">
        <v>2</v>
      </c>
      <c r="E1" s="52" t="s">
        <v>41</v>
      </c>
      <c r="F1" s="53">
        <v>1.0</v>
      </c>
      <c r="G1" s="54" t="s">
        <v>42</v>
      </c>
    </row>
    <row r="2">
      <c r="A2" s="55" t="s">
        <v>43</v>
      </c>
      <c r="B2" s="6">
        <v>100.0</v>
      </c>
      <c r="C2" s="9" t="s">
        <v>5</v>
      </c>
      <c r="E2" s="55" t="s">
        <v>44</v>
      </c>
      <c r="F2" s="56">
        <f>B2*1000000/24/3600*F1</f>
        <v>1157.407407</v>
      </c>
      <c r="G2" s="9" t="s">
        <v>45</v>
      </c>
    </row>
    <row r="3">
      <c r="A3" s="6" t="s">
        <v>46</v>
      </c>
      <c r="B3" s="6">
        <v>10.0</v>
      </c>
      <c r="C3" s="9" t="s">
        <v>47</v>
      </c>
      <c r="D3" s="57" t="s">
        <v>48</v>
      </c>
      <c r="E3" s="55"/>
      <c r="F3" s="6"/>
      <c r="G3" s="9"/>
      <c r="H3" s="58"/>
      <c r="I3" s="59"/>
      <c r="J3" s="18"/>
      <c r="K3" s="18"/>
    </row>
    <row r="4">
      <c r="A4" s="19" t="s">
        <v>49</v>
      </c>
      <c r="B4" s="6">
        <v>6.889</v>
      </c>
      <c r="C4" s="9" t="s">
        <v>47</v>
      </c>
      <c r="D4" s="60" t="s">
        <v>50</v>
      </c>
      <c r="E4" s="61" t="s">
        <v>51</v>
      </c>
      <c r="F4" s="62">
        <f>B4*10^-3</f>
        <v>0.006889</v>
      </c>
      <c r="G4" s="13" t="s">
        <v>52</v>
      </c>
      <c r="H4" s="58"/>
      <c r="I4" s="59"/>
      <c r="J4" s="18"/>
      <c r="K4" s="18"/>
    </row>
    <row r="5">
      <c r="A5" s="55" t="s">
        <v>53</v>
      </c>
      <c r="B5" s="6">
        <v>100.0</v>
      </c>
      <c r="C5" s="9" t="s">
        <v>54</v>
      </c>
      <c r="E5" s="18"/>
      <c r="F5" s="18"/>
      <c r="G5" s="18"/>
      <c r="I5" s="63"/>
    </row>
    <row r="6">
      <c r="A6" s="55"/>
      <c r="C6" s="9"/>
      <c r="E6" s="18"/>
      <c r="F6" s="18"/>
      <c r="G6" s="4"/>
    </row>
    <row r="7">
      <c r="A7" s="64" t="s">
        <v>16</v>
      </c>
      <c r="B7" s="65"/>
      <c r="C7" s="66"/>
    </row>
    <row r="8">
      <c r="A8" s="67" t="s">
        <v>55</v>
      </c>
      <c r="B8" s="68">
        <f>2.71*1000000</f>
        <v>2710000</v>
      </c>
      <c r="C8" s="69" t="s">
        <v>56</v>
      </c>
      <c r="E8" s="17"/>
      <c r="F8" s="18"/>
      <c r="G8" s="18"/>
    </row>
    <row r="9">
      <c r="A9" s="67" t="s">
        <v>57</v>
      </c>
      <c r="B9" s="68">
        <v>14.4</v>
      </c>
      <c r="C9" s="70" t="s">
        <v>58</v>
      </c>
      <c r="E9" s="18"/>
      <c r="F9" s="18"/>
      <c r="G9" s="18"/>
    </row>
    <row r="10">
      <c r="A10" s="71" t="s">
        <v>59</v>
      </c>
      <c r="B10" s="72">
        <f>exp(-1*B9/8.314*1000*(1/'Input WW'!B7 - 1/298.15))</f>
        <v>1</v>
      </c>
      <c r="C10" s="70"/>
      <c r="E10" s="18"/>
      <c r="F10" s="18"/>
      <c r="G10" s="18"/>
    </row>
    <row r="11">
      <c r="A11" s="67" t="s">
        <v>60</v>
      </c>
      <c r="B11" s="72">
        <v>23.5</v>
      </c>
      <c r="C11" s="70" t="s">
        <v>58</v>
      </c>
      <c r="E11" s="17"/>
      <c r="F11" s="44"/>
      <c r="G11" s="18"/>
    </row>
    <row r="12">
      <c r="A12" s="71" t="s">
        <v>61</v>
      </c>
      <c r="B12" s="72">
        <f>exp(-1*B11/8.314*1000*(1/'Input WW'!B7 - 1/298.15))</f>
        <v>1</v>
      </c>
      <c r="C12" s="70"/>
      <c r="K12" s="6"/>
      <c r="L12" s="8"/>
    </row>
    <row r="13">
      <c r="A13" s="67" t="s">
        <v>62</v>
      </c>
      <c r="B13" s="72">
        <v>35.4</v>
      </c>
      <c r="C13" s="70" t="s">
        <v>58</v>
      </c>
    </row>
    <row r="14">
      <c r="A14" s="71" t="s">
        <v>63</v>
      </c>
      <c r="B14" s="72">
        <f>exp(-1*B13/8.314*1000*(1/'Input WW'!B7 - 1/298.15))</f>
        <v>1</v>
      </c>
      <c r="C14" s="70"/>
      <c r="E14" s="4"/>
    </row>
    <row r="15">
      <c r="A15" s="67" t="s">
        <v>64</v>
      </c>
      <c r="B15" s="73">
        <f>10^(-0.3)*B10</f>
        <v>0.5011872336</v>
      </c>
      <c r="C15" s="69" t="s">
        <v>65</v>
      </c>
      <c r="E15" s="6"/>
      <c r="G15" s="6"/>
      <c r="N15" s="22"/>
    </row>
    <row r="16">
      <c r="A16" s="67" t="s">
        <v>66</v>
      </c>
      <c r="B16" s="73">
        <f>10^(-5.81)*B12</f>
        <v>0.000001548816619</v>
      </c>
      <c r="C16" s="69" t="s">
        <v>65</v>
      </c>
      <c r="E16" s="6"/>
      <c r="F16" s="6"/>
    </row>
    <row r="17">
      <c r="A17" s="67" t="s">
        <v>67</v>
      </c>
      <c r="B17" s="73">
        <f>10^(-3.48)*B14</f>
        <v>0.0003311311215</v>
      </c>
      <c r="C17" s="69" t="s">
        <v>65</v>
      </c>
      <c r="E17" s="6"/>
      <c r="F17" s="6"/>
    </row>
    <row r="18">
      <c r="A18" s="67" t="s">
        <v>68</v>
      </c>
      <c r="B18" s="74">
        <f>10^(-8.35)</f>
        <v>0.000000004466835922</v>
      </c>
      <c r="C18" s="69" t="s">
        <v>23</v>
      </c>
      <c r="E18" s="6"/>
      <c r="M18" s="75"/>
    </row>
    <row r="19">
      <c r="A19" s="67" t="s">
        <v>69</v>
      </c>
      <c r="B19" s="68">
        <v>1.0</v>
      </c>
      <c r="C19" s="76"/>
      <c r="E19" s="6"/>
      <c r="G19" s="6"/>
    </row>
    <row r="20">
      <c r="A20" s="77" t="s">
        <v>70</v>
      </c>
      <c r="B20" s="78">
        <v>1.0</v>
      </c>
      <c r="C20" s="79"/>
      <c r="F20" s="22"/>
    </row>
    <row r="21">
      <c r="F21" s="6"/>
      <c r="G21" s="6"/>
      <c r="H21" s="6"/>
      <c r="I21" s="6"/>
    </row>
    <row r="22">
      <c r="A22" s="80" t="s">
        <v>71</v>
      </c>
      <c r="B22" s="65"/>
      <c r="C22" s="66"/>
      <c r="D22" s="6" t="s">
        <v>72</v>
      </c>
      <c r="F22" s="81"/>
      <c r="G22" s="22"/>
      <c r="H22" s="8"/>
      <c r="I22" s="22"/>
    </row>
    <row r="23">
      <c r="A23" s="67" t="s">
        <v>73</v>
      </c>
      <c r="B23" s="82">
        <f>F4</f>
        <v>0.006889</v>
      </c>
      <c r="C23" s="69" t="s">
        <v>52</v>
      </c>
      <c r="D23" s="6" t="s">
        <v>74</v>
      </c>
      <c r="E23" s="83">
        <f>4/3*PI()*(B23^3)</f>
        <v>0.000001369484634</v>
      </c>
      <c r="F23" s="81"/>
      <c r="G23" s="22"/>
      <c r="H23" s="8"/>
      <c r="I23" s="22"/>
    </row>
    <row r="24">
      <c r="A24" s="67" t="s">
        <v>75</v>
      </c>
      <c r="B24" s="68">
        <v>0.35</v>
      </c>
      <c r="C24" s="76"/>
      <c r="D24" s="6" t="s">
        <v>76</v>
      </c>
      <c r="E24" s="83">
        <f>E23*B8</f>
        <v>3.711303357</v>
      </c>
      <c r="F24" s="81"/>
      <c r="G24" s="22"/>
      <c r="H24" s="8"/>
      <c r="I24" s="22"/>
    </row>
    <row r="25">
      <c r="A25" s="67" t="s">
        <v>77</v>
      </c>
      <c r="B25" s="68">
        <f>(1/2/0.0000000001)^B24</f>
        <v>2481.072765</v>
      </c>
      <c r="C25" s="76"/>
      <c r="D25" s="6" t="s">
        <v>78</v>
      </c>
      <c r="E25" s="83">
        <f>4*PI()*B23^2</f>
        <v>0.0005963788504</v>
      </c>
      <c r="F25" s="81"/>
      <c r="G25" s="22"/>
      <c r="H25" s="8"/>
      <c r="I25" s="22"/>
    </row>
    <row r="26">
      <c r="A26" s="67" t="s">
        <v>79</v>
      </c>
      <c r="B26" s="82">
        <f>B25*B23^B24</f>
        <v>434.5043875</v>
      </c>
      <c r="C26" s="76"/>
      <c r="D26" s="6" t="s">
        <v>80</v>
      </c>
      <c r="E26" s="83">
        <f>E25/E24</f>
        <v>0.0001606925635</v>
      </c>
      <c r="F26" s="81"/>
      <c r="G26" s="22"/>
      <c r="H26" s="8"/>
      <c r="I26" s="22"/>
    </row>
    <row r="27">
      <c r="A27" s="77" t="s">
        <v>80</v>
      </c>
      <c r="B27" s="84">
        <f>6/(B23*B8)*B26</f>
        <v>0.1396432478</v>
      </c>
      <c r="C27" s="85" t="s">
        <v>81</v>
      </c>
      <c r="D27" s="19"/>
      <c r="F27" s="81"/>
      <c r="G27" s="22"/>
      <c r="H27" s="8"/>
      <c r="I27" s="22"/>
    </row>
    <row r="28">
      <c r="A28" s="19"/>
      <c r="B28" s="22"/>
      <c r="C28" s="6"/>
      <c r="D28" s="19"/>
      <c r="F28" s="81"/>
      <c r="G28" s="22"/>
      <c r="H28" s="8"/>
      <c r="I28" s="22"/>
    </row>
    <row r="29">
      <c r="A29" s="86" t="s">
        <v>82</v>
      </c>
      <c r="B29" s="87">
        <f>'Input WW'!F6*'Input WW'!B19/B18</f>
        <v>0.1427726916</v>
      </c>
      <c r="C29" s="54"/>
      <c r="D29" s="57" t="s">
        <v>83</v>
      </c>
      <c r="F29" s="88" t="s">
        <v>84</v>
      </c>
      <c r="G29" s="89"/>
      <c r="H29" s="89"/>
      <c r="I29" s="90"/>
    </row>
    <row r="30">
      <c r="A30" s="55" t="s">
        <v>85</v>
      </c>
      <c r="B30" s="22">
        <f>(B15*('Input WW'!B16)^B19 + B16+B17*('Input WW'!B16)^B20)*(1-B29)</f>
        <v>0.000001463639037</v>
      </c>
      <c r="C30" s="9" t="s">
        <v>65</v>
      </c>
      <c r="D30" s="19"/>
      <c r="F30" s="91"/>
      <c r="G30" s="92"/>
      <c r="H30" s="92"/>
      <c r="I30" s="93"/>
    </row>
    <row r="31">
      <c r="A31" s="55" t="s">
        <v>86</v>
      </c>
      <c r="B31" s="22">
        <f>B30*B27</f>
        <v>0.0000002043873087</v>
      </c>
      <c r="C31" s="9" t="s">
        <v>87</v>
      </c>
      <c r="F31" s="94" t="s">
        <v>88</v>
      </c>
      <c r="G31" s="95"/>
      <c r="H31" s="95"/>
      <c r="I31" s="93"/>
    </row>
    <row r="32">
      <c r="A32" s="55" t="s">
        <v>89</v>
      </c>
      <c r="B32" s="22">
        <f>B31/F2</f>
        <v>0.0000000001765906347</v>
      </c>
      <c r="C32" s="9" t="s">
        <v>90</v>
      </c>
      <c r="F32" s="96"/>
      <c r="G32" s="95"/>
      <c r="H32" s="95"/>
      <c r="I32" s="93"/>
    </row>
    <row r="33">
      <c r="A33" s="55" t="s">
        <v>91</v>
      </c>
      <c r="B33" s="8">
        <f>'Input WW'!B17 - 'Input WW'!B23</f>
        <v>0.0003346720214</v>
      </c>
      <c r="C33" s="9" t="s">
        <v>11</v>
      </c>
      <c r="D33" s="97" t="s">
        <v>92</v>
      </c>
      <c r="E33" s="98">
        <v>0.0</v>
      </c>
      <c r="F33" s="99" t="s">
        <v>93</v>
      </c>
      <c r="G33" s="92" t="s">
        <v>94</v>
      </c>
      <c r="H33" s="92"/>
      <c r="I33" s="93"/>
    </row>
    <row r="34">
      <c r="A34" s="61" t="s">
        <v>95</v>
      </c>
      <c r="B34" s="100">
        <f>B33/B32/(1-E33)</f>
        <v>1895185.563</v>
      </c>
      <c r="C34" s="13" t="s">
        <v>96</v>
      </c>
      <c r="F34" s="91"/>
      <c r="G34" s="92"/>
      <c r="H34" s="92"/>
      <c r="I34" s="93"/>
    </row>
    <row r="35">
      <c r="A35" s="6"/>
      <c r="B35" s="22"/>
      <c r="C35" s="6"/>
      <c r="F35" s="101" t="s">
        <v>97</v>
      </c>
      <c r="G35" s="102" t="s">
        <v>98</v>
      </c>
      <c r="H35" s="102"/>
      <c r="I35" s="103"/>
    </row>
    <row r="36">
      <c r="A36" s="104" t="s">
        <v>99</v>
      </c>
      <c r="B36" s="105">
        <f>B34/1000000</f>
        <v>1.895185563</v>
      </c>
      <c r="C36" s="106" t="s">
        <v>100</v>
      </c>
      <c r="D36" s="58" t="s">
        <v>101</v>
      </c>
    </row>
    <row r="38">
      <c r="A38" s="107" t="s">
        <v>102</v>
      </c>
      <c r="B38" s="108">
        <f>B33*24*3600*44/1000000*F2/F1</f>
        <v>1.472556894</v>
      </c>
      <c r="C38" s="109" t="s">
        <v>103</v>
      </c>
      <c r="D38" s="57"/>
      <c r="E38" s="110" t="s">
        <v>104</v>
      </c>
      <c r="F38" s="111">
        <f>B38*100/44/(1-E33)</f>
        <v>3.346720214</v>
      </c>
      <c r="G38" s="109" t="s">
        <v>105</v>
      </c>
      <c r="H38" s="58" t="s">
        <v>106</v>
      </c>
    </row>
    <row r="39">
      <c r="A39" s="57" t="s">
        <v>107</v>
      </c>
      <c r="B39" s="28">
        <f>F38*44/100-B38</f>
        <v>0</v>
      </c>
      <c r="C39" s="6" t="s">
        <v>103</v>
      </c>
      <c r="D39" s="58" t="s">
        <v>108</v>
      </c>
      <c r="E39" s="6" t="s">
        <v>109</v>
      </c>
      <c r="F39" s="75">
        <v>0.8</v>
      </c>
    </row>
    <row r="40">
      <c r="A40" s="112" t="s">
        <v>110</v>
      </c>
      <c r="B40" s="108">
        <f>B38-B39</f>
        <v>1.472556894</v>
      </c>
      <c r="C40" s="109" t="s">
        <v>103</v>
      </c>
      <c r="E40" s="16" t="s">
        <v>111</v>
      </c>
      <c r="F40" s="113">
        <f>F38/F39</f>
        <v>4.183400268</v>
      </c>
      <c r="G40" s="4" t="s">
        <v>105</v>
      </c>
    </row>
    <row r="41">
      <c r="A41" s="114"/>
    </row>
    <row r="42">
      <c r="A42" s="6" t="s">
        <v>112</v>
      </c>
      <c r="B42" s="115">
        <f>B40*365</f>
        <v>537.4832664</v>
      </c>
      <c r="C42" s="6" t="s">
        <v>113</v>
      </c>
      <c r="D42" s="116"/>
    </row>
    <row r="45">
      <c r="B45" s="28"/>
    </row>
  </sheetData>
  <hyperlinks>
    <hyperlink r:id="rId1" ref="D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7" max="7" width="14.38"/>
  </cols>
  <sheetData>
    <row r="1">
      <c r="A1" s="117" t="s">
        <v>114</v>
      </c>
      <c r="B1" s="118">
        <f>'Calcium Carbonate Weathering'!B33</f>
        <v>0.0003346720214</v>
      </c>
      <c r="C1" s="117" t="s">
        <v>11</v>
      </c>
      <c r="D1" s="8"/>
    </row>
    <row r="3">
      <c r="A3" s="119" t="s">
        <v>115</v>
      </c>
      <c r="B3" s="120">
        <f>'Input WW'!F6+B1</f>
        <v>0.004834672021</v>
      </c>
      <c r="C3" s="121" t="s">
        <v>11</v>
      </c>
      <c r="G3" s="19"/>
      <c r="H3" s="28"/>
    </row>
    <row r="4">
      <c r="A4" s="122" t="s">
        <v>116</v>
      </c>
      <c r="B4" s="123">
        <f>'Input WW'!B17-B1</f>
        <v>0.0003346720214</v>
      </c>
      <c r="C4" s="124" t="s">
        <v>11</v>
      </c>
      <c r="E4" s="6" t="s">
        <v>117</v>
      </c>
      <c r="H4" s="22"/>
    </row>
    <row r="5">
      <c r="A5" s="122" t="s">
        <v>118</v>
      </c>
      <c r="B5" s="123">
        <f>'Input WW'!B18+B1*E5*2</f>
        <v>0.001623087923</v>
      </c>
      <c r="C5" s="124" t="s">
        <v>11</v>
      </c>
      <c r="D5" s="125" t="s">
        <v>36</v>
      </c>
      <c r="E5" s="125">
        <f>'Input WW'!B25</f>
        <v>0.998</v>
      </c>
      <c r="I5" s="22"/>
    </row>
    <row r="6">
      <c r="A6" s="122" t="s">
        <v>119</v>
      </c>
      <c r="B6" s="123">
        <f>'Input WW'!B19+B1*(1-E5)</f>
        <v>0.000000811064529</v>
      </c>
      <c r="C6" s="126"/>
    </row>
    <row r="7">
      <c r="A7" s="122" t="s">
        <v>120</v>
      </c>
      <c r="B7" s="123">
        <f>B4*'Input WW'!F11/B5</f>
        <v>0.00000009303982322</v>
      </c>
      <c r="C7" s="126"/>
      <c r="D7" s="4" t="s">
        <v>121</v>
      </c>
      <c r="E7" s="127">
        <f t="shared" ref="E7:E8" si="1">-log(B7)</f>
        <v>7.031331123</v>
      </c>
    </row>
    <row r="8">
      <c r="A8" s="128" t="s">
        <v>120</v>
      </c>
      <c r="B8" s="129">
        <f>sqrt(B4/B6*'Input WW'!F11*'Input WW'!F12)</f>
        <v>0.00000009347029527</v>
      </c>
      <c r="C8" s="130"/>
      <c r="D8" s="6" t="s">
        <v>122</v>
      </c>
      <c r="E8" s="131">
        <f t="shared" si="1"/>
        <v>7.029326385</v>
      </c>
    </row>
    <row r="9">
      <c r="A9" s="6" t="s">
        <v>123</v>
      </c>
      <c r="B9" s="22">
        <f>2*B3 -'Input WW'!F17</f>
        <v>0.001624425446</v>
      </c>
      <c r="D9" s="4" t="s">
        <v>124</v>
      </c>
      <c r="E9" s="132">
        <f>E8-E7</f>
        <v>-0.002004738095</v>
      </c>
    </row>
    <row r="10">
      <c r="A10" s="6" t="s">
        <v>125</v>
      </c>
      <c r="B10" s="22">
        <f>B5+2*B6-B7+'Input WW'!F13/B7</f>
        <v>0.001624724492</v>
      </c>
    </row>
    <row r="11">
      <c r="A11" s="6" t="s">
        <v>126</v>
      </c>
      <c r="B11" s="83" t="str">
        <f>if(B9-B10&gt;0,"No Error in Alkalinity", "Error")</f>
        <v>Error</v>
      </c>
    </row>
    <row r="14">
      <c r="A14" s="6" t="s">
        <v>127</v>
      </c>
      <c r="C14" s="6" t="s">
        <v>128</v>
      </c>
    </row>
    <row r="15">
      <c r="A15" s="22">
        <f>'Input WW'!B17+'Input WW'!B18+'Input WW'!B19+B1</f>
        <v>0.001959240352</v>
      </c>
      <c r="C15" s="22">
        <f>B4+B5+B6</f>
        <v>0.001958571008</v>
      </c>
    </row>
    <row r="16">
      <c r="B16" s="4" t="s">
        <v>129</v>
      </c>
      <c r="C16" s="132">
        <f>C15-A15</f>
        <v>-0.0000006693440428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130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tr">
        <f>ModelSheet=Output Effluent!A:Z</f>
        <v>#ERROR!</v>
      </c>
      <c r="B1" s="83" t="str">
        <f>ModelSheet=Calcium Carbonate Weathering!A:Z</f>
        <v>#ERROR!</v>
      </c>
    </row>
    <row r="2">
      <c r="A2" s="83" t="str">
        <f t="shared" ref="A2:B2" si="1">OpenSolver_AdjNum=1</f>
        <v>#NAME?</v>
      </c>
      <c r="B2" s="83" t="str">
        <f t="shared" si="1"/>
        <v>#NAME?</v>
      </c>
    </row>
    <row r="3">
      <c r="A3" s="83" t="str">
        <f>OpenSolver_ChosenSolver=Google</f>
        <v>#NAME?</v>
      </c>
      <c r="B3" s="83" t="str">
        <f>OpenSolver_ChosenSolver=SolveEngine</f>
        <v>#NAME?</v>
      </c>
    </row>
    <row r="4">
      <c r="A4" s="83" t="str">
        <f t="shared" ref="A4:B4" si="2">OpenSolver_FastBuild=0</f>
        <v>#NAME?</v>
      </c>
      <c r="B4" s="83" t="str">
        <f t="shared" si="2"/>
        <v>#NAME?</v>
      </c>
    </row>
    <row r="5">
      <c r="A5" s="83" t="str">
        <f t="shared" ref="A5:B5" si="3">OpenSolver_LinearityCheck=0</f>
        <v>#NAME?</v>
      </c>
      <c r="B5" s="83" t="str">
        <f t="shared" si="3"/>
        <v>#NAME?</v>
      </c>
    </row>
    <row r="6">
      <c r="A6" s="83" t="str">
        <f>solver_adj=Output Effluent!E6</f>
        <v>#ERROR!</v>
      </c>
      <c r="B6" s="83" t="str">
        <f>solver_adj=Calcium Carbonate Weathering!B2</f>
        <v>#ERROR!</v>
      </c>
    </row>
    <row r="7">
      <c r="A7" s="83" t="str">
        <f>solver_lhs1=Output Effluent!D6</f>
        <v>#ERROR!</v>
      </c>
      <c r="B7" s="83" t="str">
        <f>solver_lhs1=Calcium Carbonate Weathering!B2</f>
        <v>#ERROR!</v>
      </c>
    </row>
    <row r="8">
      <c r="A8" s="83" t="str">
        <f t="shared" ref="A8:B8" si="4">solver_neg=1</f>
        <v>#NAME?</v>
      </c>
      <c r="B8" s="83" t="str">
        <f t="shared" si="4"/>
        <v>#NAME?</v>
      </c>
    </row>
    <row r="9">
      <c r="A9" s="83" t="str">
        <f t="shared" ref="A9:B9" si="5">solver_num=1</f>
        <v>#NAME?</v>
      </c>
      <c r="B9" s="83" t="str">
        <f t="shared" si="5"/>
        <v>#NAME?</v>
      </c>
    </row>
    <row r="10">
      <c r="A10" s="83" t="str">
        <f>solver_opt=Output Effluent!E10</f>
        <v>#ERROR!</v>
      </c>
      <c r="B10" s="83" t="str">
        <f>solver_opt=Calcium Carbonate Weathering!B2</f>
        <v>#ERROR!</v>
      </c>
    </row>
    <row r="11">
      <c r="A11" s="83" t="str">
        <f>solver_rel1=1</f>
        <v>#NAME?</v>
      </c>
      <c r="B11" s="83" t="str">
        <f>solver_rel1=2</f>
        <v>#NAME?</v>
      </c>
    </row>
    <row r="12">
      <c r="A12" s="83" t="str">
        <f>solver_rhs1=Output Effluent!E6</f>
        <v>#ERROR!</v>
      </c>
      <c r="B12" s="83" t="str">
        <f>solver_rhs1=Calcium Carbonate Weathering!B22</f>
        <v>#ERROR!</v>
      </c>
    </row>
    <row r="13">
      <c r="A13" s="83" t="str">
        <f t="shared" ref="A13:B13" si="6">solver_sho=1</f>
        <v>#NAME?</v>
      </c>
      <c r="B13" s="83" t="str">
        <f t="shared" si="6"/>
        <v>#NAME?</v>
      </c>
    </row>
    <row r="14">
      <c r="A14" s="83" t="str">
        <f>solver_typ=3</f>
        <v>#NAME?</v>
      </c>
      <c r="B14" s="83" t="str">
        <f>solver_typ=1</f>
        <v>#NAME?</v>
      </c>
    </row>
    <row r="15">
      <c r="A15" s="83" t="str">
        <f t="shared" ref="A15:B15" si="7">solver_val=0</f>
        <v>#NAME?</v>
      </c>
      <c r="B15" s="83" t="str">
        <f t="shared" si="7"/>
        <v>#NAME?</v>
      </c>
    </row>
  </sheetData>
  <drawing r:id="rId1"/>
</worksheet>
</file>